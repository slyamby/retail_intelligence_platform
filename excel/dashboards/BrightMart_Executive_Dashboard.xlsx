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lvesterkyeremeh/projects/portfolio/retail_intelligence_platform/excel/dashboards/"/>
    </mc:Choice>
  </mc:AlternateContent>
  <xr:revisionPtr revIDLastSave="0" documentId="13_ncr:1_{88CB4CD2-7F8F-2F4E-AA45-B4F6F42D40D1}" xr6:coauthVersionLast="47" xr6:coauthVersionMax="47" xr10:uidLastSave="{00000000-0000-0000-0000-000000000000}"/>
  <bookViews>
    <workbookView xWindow="0" yWindow="0" windowWidth="28800" windowHeight="18000" xr2:uid="{D4549F3E-AF6A-984C-943E-457572198BB9}"/>
  </bookViews>
  <sheets>
    <sheet name="Dashboard" sheetId="16" r:id="rId1"/>
    <sheet name="Dashboard KPIs" sheetId="9" r:id="rId2"/>
    <sheet name="Payment Method by Revenue" sheetId="15" r:id="rId3"/>
    <sheet name="Revenue by Branch" sheetId="10" r:id="rId4"/>
    <sheet name="Revenue by Product" sheetId="11" r:id="rId5"/>
    <sheet name="revenue_by_month (2)" sheetId="17" r:id="rId6"/>
    <sheet name="Monthly Revenue" sheetId="12" r:id="rId7"/>
    <sheet name="Top Customers" sheetId="13" r:id="rId8"/>
  </sheets>
  <definedNames>
    <definedName name="ExternalData_1" localSheetId="1" hidden="1">'Dashboard KPIs'!$A$1:$F$2</definedName>
    <definedName name="ExternalData_1" localSheetId="6" hidden="1">'Monthly Revenue'!$A$1:$B$13</definedName>
    <definedName name="ExternalData_1" localSheetId="2" hidden="1">'Payment Method by Revenue'!$A$1:$B$5</definedName>
    <definedName name="ExternalData_1" localSheetId="3" hidden="1">'Revenue by Branch'!$A$1:$B$6</definedName>
    <definedName name="ExternalData_1" localSheetId="4" hidden="1">'Revenue by Product'!$A$1:$B$6</definedName>
    <definedName name="ExternalData_1" localSheetId="7" hidden="1">'Top Customers'!$A$1:$B$8</definedName>
    <definedName name="ExternalData_2" localSheetId="5" hidden="1">'revenue_by_month (2)'!$A$1:$B$13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6" l="1"/>
  <c r="I6" i="16"/>
  <c r="R6" i="16"/>
  <c r="O6" i="16"/>
  <c r="L6" i="16"/>
  <c r="F6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E51ECE-AF75-2741-AF4E-4459299394FC}" keepAlive="1" name="Query - kpis" description="Connection to the 'kpis' query in the workbook." type="5" refreshedVersion="0" background="1">
    <dbPr connection="Provider=Microsoft.Mashup.OleDb.1;Data Source=$Workbook$;Location=kpis;Extended Properties=&quot;&quot;" command="SELECT * FROM [kpis]"/>
  </connection>
  <connection id="2" xr16:uid="{12B30B15-83D1-1C4F-B88F-1A88BECBEFA9}" keepAlive="1" name="Query - kpis (2)" description="Connection to the 'kpis (2)' query in the workbook." type="5" refreshedVersion="8" background="1" saveData="1">
    <dbPr connection="Provider=Microsoft.Mashup.OleDb.1;Data Source=$Workbook$;Location=&quot;kpis (2)&quot;;Extended Properties=&quot;&quot;" command="SELECT * FROM [kpis (2)]"/>
  </connection>
  <connection id="3" xr16:uid="{638D289C-2122-014E-AD47-C5C3F14F370C}" keepAlive="1" name="Query - payment_method_by_revenue" description="Connection to the 'payment_method_by_revenue' query in the workbook." type="5" refreshedVersion="8" background="1" saveData="1">
    <dbPr connection="Provider=Microsoft.Mashup.OleDb.1;Data Source=$Workbook$;Location=payment_method_by_revenue;Extended Properties=&quot;&quot;" command="SELECT * FROM [payment_method_by_revenue]"/>
  </connection>
  <connection id="4" xr16:uid="{0C7F0A68-09FC-954F-9E65-BA4B71A59A22}" keepAlive="1" name="Query - revenue_by_branch" description="Connection to the 'revenue_by_branch' query in the workbook." type="5" refreshedVersion="8" background="1" saveData="1">
    <dbPr connection="Provider=Microsoft.Mashup.OleDb.1;Data Source=$Workbook$;Location=revenue_by_branch;Extended Properties=&quot;&quot;" command="SELECT * FROM [revenue_by_branch]"/>
  </connection>
  <connection id="5" xr16:uid="{F458FAF0-C8B4-2A41-A12C-96863B0AD87C}" keepAlive="1" name="Query - revenue_by_month" description="Connection to the 'revenue_by_month' query in the workbook." type="5" refreshedVersion="8" background="1" saveData="1">
    <dbPr connection="Provider=Microsoft.Mashup.OleDb.1;Data Source=$Workbook$;Location=revenue_by_month;Extended Properties=&quot;&quot;" command="SELECT * FROM [revenue_by_month]"/>
  </connection>
  <connection id="6" xr16:uid="{A0F7FB2C-51B1-0C4A-982B-3388E00FF797}" keepAlive="1" name="Query - revenue_by_month (2)" description="Connection to the 'revenue_by_month (2)' query in the workbook." type="5" refreshedVersion="8" background="1" saveData="1">
    <dbPr connection="Provider=Microsoft.Mashup.OleDb.1;Data Source=$Workbook$;Location=&quot;revenue_by_month (2)&quot;;Extended Properties=&quot;&quot;" command="SELECT * FROM [revenue_by_month (2)]"/>
  </connection>
  <connection id="7" xr16:uid="{6EAD67F9-1B97-A144-B9B8-F055BDE095D0}" keepAlive="1" name="Query - revenue_by_product" description="Connection to the 'revenue_by_product' query in the workbook." type="5" refreshedVersion="8" background="1" saveData="1">
    <dbPr connection="Provider=Microsoft.Mashup.OleDb.1;Data Source=$Workbook$;Location=revenue_by_product;Extended Properties=&quot;&quot;" command="SELECT * FROM [revenue_by_product]"/>
  </connection>
  <connection id="8" xr16:uid="{B485CD18-BC9E-434A-BE28-720EAF11FCA6}" keepAlive="1" name="Query - top_10_customers_by_revenue" description="Connection to the 'top_10_customers_by_revenue' query in the workbook." type="5" refreshedVersion="8" background="1" saveData="1">
    <dbPr connection="Provider=Microsoft.Mashup.OleDb.1;Data Source=$Workbook$;Location=top_10_customers_by_revenue;Extended Properties=&quot;&quot;" command="SELECT * FROM [top_10_customers_by_revenue]"/>
  </connection>
</connections>
</file>

<file path=xl/sharedStrings.xml><?xml version="1.0" encoding="utf-8"?>
<sst xmlns="http://schemas.openxmlformats.org/spreadsheetml/2006/main" count="46" uniqueCount="39">
  <si>
    <t>Total Revenue</t>
  </si>
  <si>
    <t>Total Transactions</t>
  </si>
  <si>
    <t>Average Sales</t>
  </si>
  <si>
    <t>Customers</t>
  </si>
  <si>
    <t>Products</t>
  </si>
  <si>
    <t>Branches</t>
  </si>
  <si>
    <t>branch</t>
  </si>
  <si>
    <t>revenue</t>
  </si>
  <si>
    <t>Kumasi</t>
  </si>
  <si>
    <t>Takoradi</t>
  </si>
  <si>
    <t>Tema</t>
  </si>
  <si>
    <t>East Legon</t>
  </si>
  <si>
    <t>Accra Central</t>
  </si>
  <si>
    <t>product</t>
  </si>
  <si>
    <t>Laptop</t>
  </si>
  <si>
    <t>Printer</t>
  </si>
  <si>
    <t>Monitor</t>
  </si>
  <si>
    <t>Keyboard</t>
  </si>
  <si>
    <t>Mouse</t>
  </si>
  <si>
    <t>month</t>
  </si>
  <si>
    <t>customer_name</t>
  </si>
  <si>
    <t>Kwame Asante</t>
  </si>
  <si>
    <t>Esi Arthur</t>
  </si>
  <si>
    <t>Kofi Addo</t>
  </si>
  <si>
    <t>Akosua Owusu</t>
  </si>
  <si>
    <t>Yaw Boateng</t>
  </si>
  <si>
    <t>Ama Mensah</t>
  </si>
  <si>
    <t>Unknown</t>
  </si>
  <si>
    <t>payment_method</t>
  </si>
  <si>
    <t>Mobile Money</t>
  </si>
  <si>
    <t>Cash</t>
  </si>
  <si>
    <t>Card</t>
  </si>
  <si>
    <t>Bank Transfer</t>
  </si>
  <si>
    <t>Revenue</t>
  </si>
  <si>
    <t>Transactions</t>
  </si>
  <si>
    <t xml:space="preserve">Customers </t>
  </si>
  <si>
    <t>Product</t>
  </si>
  <si>
    <t>Branch</t>
  </si>
  <si>
    <t>BRIGHTMART EXECUTIVE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</si>
</sst>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GH₵&quot;#,##0"/>
    <numFmt numFmtId="170" formatCode="mmm"/>
  </numFmts>
  <fonts count="4" x14ac:knownFonts="1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8"/>
      <color theme="1"/>
      <name val="Aptos Narrow"/>
      <scheme val="minor"/>
    </font>
    <font>
      <sz val="20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9" fontId="0" fillId="0" borderId="0" xfId="0" applyNumberFormat="1"/>
    <xf numFmtId="16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0" fontId="0" fillId="0" borderId="0" xfId="0" applyNumberFormat="1"/>
  </cellXfs>
  <cellStyles count="1">
    <cellStyle name="Normal" xfId="0" builtinId="0"/>
  </cellStyles>
  <dxfs count="8">
    <dxf>
      <numFmt numFmtId="170" formatCode="mmm"/>
    </dxf>
    <dxf>
      <numFmt numFmtId="19" formatCode="dd/mm/yyyy"/>
    </dxf>
    <dxf>
      <numFmt numFmtId="169" formatCode="&quot;GH₵&quot;#,##0"/>
    </dxf>
    <dxf>
      <numFmt numFmtId="169" formatCode="&quot;GH₵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Revenue Trend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002060"/>
                </a:solidFill>
                <a:round/>
              </a:ln>
              <a:effectLst/>
            </c:spPr>
          </c:dPt>
          <c:cat>
            <c:numRef>
              <c:f>'revenue_by_month (2)'!$A$2:$A$13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'revenue_by_month (2)'!$B$2:$B$13</c:f>
              <c:numCache>
                <c:formatCode>General</c:formatCode>
                <c:ptCount val="12"/>
                <c:pt idx="0">
                  <c:v>1200500</c:v>
                </c:pt>
                <c:pt idx="1">
                  <c:v>1094050</c:v>
                </c:pt>
                <c:pt idx="2">
                  <c:v>1725550</c:v>
                </c:pt>
                <c:pt idx="3">
                  <c:v>14500</c:v>
                </c:pt>
                <c:pt idx="4">
                  <c:v>300</c:v>
                </c:pt>
                <c:pt idx="5">
                  <c:v>32800</c:v>
                </c:pt>
                <c:pt idx="6">
                  <c:v>51500</c:v>
                </c:pt>
                <c:pt idx="7">
                  <c:v>6500</c:v>
                </c:pt>
                <c:pt idx="8">
                  <c:v>6500</c:v>
                </c:pt>
                <c:pt idx="9">
                  <c:v>29900</c:v>
                </c:pt>
                <c:pt idx="10">
                  <c:v>15350</c:v>
                </c:pt>
                <c:pt idx="11">
                  <c:v>63700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60-0B4C-8C22-FA90330B8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718527"/>
        <c:axId val="172712703"/>
      </c:lineChart>
      <c:dateAx>
        <c:axId val="172718527"/>
        <c:scaling>
          <c:orientation val="minMax"/>
        </c:scaling>
        <c:delete val="0"/>
        <c:axPos val="b"/>
        <c:numFmt formatCode="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72712703"/>
        <c:crosses val="autoZero"/>
        <c:auto val="1"/>
        <c:lblOffset val="100"/>
        <c:baseTimeUnit val="months"/>
      </c:dateAx>
      <c:valAx>
        <c:axId val="17271270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7271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'Revenue by Branch'!$A$2:$A$6</c:f>
              <c:strCache>
                <c:ptCount val="5"/>
                <c:pt idx="0">
                  <c:v>Kumasi</c:v>
                </c:pt>
                <c:pt idx="1">
                  <c:v>Takoradi</c:v>
                </c:pt>
                <c:pt idx="2">
                  <c:v>Tema</c:v>
                </c:pt>
                <c:pt idx="3">
                  <c:v>East Legon</c:v>
                </c:pt>
                <c:pt idx="4">
                  <c:v>Accra Central</c:v>
                </c:pt>
              </c:strCache>
            </c:strRef>
          </c:cat>
          <c:val>
            <c:numRef>
              <c:f>'Revenue by Branch'!$B$2:$B$6</c:f>
              <c:numCache>
                <c:formatCode>General</c:formatCode>
                <c:ptCount val="5"/>
                <c:pt idx="0">
                  <c:v>1341450</c:v>
                </c:pt>
                <c:pt idx="1">
                  <c:v>802200</c:v>
                </c:pt>
                <c:pt idx="2">
                  <c:v>796700</c:v>
                </c:pt>
                <c:pt idx="3">
                  <c:v>750250</c:v>
                </c:pt>
                <c:pt idx="4">
                  <c:v>550550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E3-1C44-8FE6-EE9F29E95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658175"/>
        <c:axId val="341303615"/>
      </c:barChart>
      <c:catAx>
        <c:axId val="19565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341303615"/>
        <c:crosses val="autoZero"/>
        <c:auto val="1"/>
        <c:lblAlgn val="ctr"/>
        <c:lblOffset val="100"/>
        <c:noMultiLvlLbl val="0"/>
      </c:catAx>
      <c:valAx>
        <c:axId val="34130361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9565817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by Product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'Revenue by Product'!$A$2:$A$6</c:f>
              <c:strCache>
                <c:ptCount val="5"/>
                <c:pt idx="0">
                  <c:v>Laptop</c:v>
                </c:pt>
                <c:pt idx="1">
                  <c:v>Printer</c:v>
                </c:pt>
                <c:pt idx="2">
                  <c:v>Monitor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'Revenue by Product'!$B$2:$B$6</c:f>
              <c:numCache>
                <c:formatCode>General</c:formatCode>
                <c:ptCount val="5"/>
                <c:pt idx="0">
                  <c:v>2645500</c:v>
                </c:pt>
                <c:pt idx="1">
                  <c:v>840000</c:v>
                </c:pt>
                <c:pt idx="2">
                  <c:v>552600</c:v>
                </c:pt>
                <c:pt idx="3">
                  <c:v>135100</c:v>
                </c:pt>
                <c:pt idx="4">
                  <c:v>67950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B-584D-90B9-11D0C9BDB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06047"/>
        <c:axId val="119102015"/>
      </c:barChart>
      <c:catAx>
        <c:axId val="11910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19102015"/>
        <c:crosses val="autoZero"/>
        <c:auto val="1"/>
        <c:lblAlgn val="ctr"/>
        <c:lblOffset val="100"/>
        <c:noMultiLvlLbl val="0"/>
      </c:catAx>
      <c:valAx>
        <c:axId val="11910201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1910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Payment</a:t>
            </a:r>
            <a:r>
              <a:rPr lang="en-GB" baseline="0"/>
              <a:t> Methods by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2700000" scaled="1"/>
            </a:gradFill>
          </c:spPr>
          <c:dPt>
            <c:idx val="0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</a:gra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'Payment Method by Revenue'!$A$2:$A$5</c:f>
              <c:strCache>
                <c:ptCount val="4"/>
                <c:pt idx="0">
                  <c:v>Mobile Money</c:v>
                </c:pt>
                <c:pt idx="1">
                  <c:v>Cash</c:v>
                </c:pt>
                <c:pt idx="2">
                  <c:v>Card</c:v>
                </c:pt>
                <c:pt idx="3">
                  <c:v>Bank Transfer</c:v>
                </c:pt>
              </c:strCache>
            </c:strRef>
          </c:cat>
          <c:val>
            <c:numRef>
              <c:f>'Payment Method by Revenue'!$B$2:$B$5</c:f>
              <c:numCache>
                <c:formatCode>General</c:formatCode>
                <c:ptCount val="4"/>
                <c:pt idx="0">
                  <c:v>1531650</c:v>
                </c:pt>
                <c:pt idx="1">
                  <c:v>1445550</c:v>
                </c:pt>
                <c:pt idx="2">
                  <c:v>931950</c:v>
                </c:pt>
                <c:pt idx="3">
                  <c:v>332000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5-AD4B-9C21-C84A83038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Customers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'Top Customers'!$A$2:$A$8</c:f>
              <c:strCache>
                <c:ptCount val="7"/>
                <c:pt idx="0">
                  <c:v>Kwame Asante</c:v>
                </c:pt>
                <c:pt idx="1">
                  <c:v>Esi Arthur</c:v>
                </c:pt>
                <c:pt idx="2">
                  <c:v>Kofi Addo</c:v>
                </c:pt>
                <c:pt idx="3">
                  <c:v>Akosua Owusu</c:v>
                </c:pt>
                <c:pt idx="4">
                  <c:v>Yaw Boateng</c:v>
                </c:pt>
                <c:pt idx="5">
                  <c:v>Ama Mensah</c:v>
                </c:pt>
                <c:pt idx="6">
                  <c:v>Unknown</c:v>
                </c:pt>
              </c:strCache>
            </c:strRef>
          </c:cat>
          <c:val>
            <c:numRef>
              <c:f>'Top Customers'!$B$2:$B$8</c:f>
              <c:numCache>
                <c:formatCode>General</c:formatCode>
                <c:ptCount val="7"/>
                <c:pt idx="0">
                  <c:v>1236850</c:v>
                </c:pt>
                <c:pt idx="1">
                  <c:v>584600</c:v>
                </c:pt>
                <c:pt idx="2">
                  <c:v>579300</c:v>
                </c:pt>
                <c:pt idx="3">
                  <c:v>544650</c:v>
                </c:pt>
                <c:pt idx="4">
                  <c:v>528100</c:v>
                </c:pt>
                <c:pt idx="5">
                  <c:v>398150</c:v>
                </c:pt>
                <c:pt idx="6">
                  <c:v>369500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4-C04A-BFBE-AAC5247D7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821119"/>
        <c:axId val="258287679"/>
      </c:barChart>
      <c:catAx>
        <c:axId val="119821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258287679"/>
        <c:crosses val="autoZero"/>
        <c:auto val="1"/>
        <c:lblAlgn val="ctr"/>
        <c:lblOffset val="100"/>
        <c:noMultiLvlLbl val="0"/>
      </c:catAx>
      <c:valAx>
        <c:axId val="25828767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1982111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8</xdr:row>
      <xdr:rowOff>63500</xdr:rowOff>
    </xdr:from>
    <xdr:to>
      <xdr:col>19</xdr:col>
      <xdr:colOff>812800</xdr:colOff>
      <xdr:row>18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D74596-7586-79AA-74C1-C8BE44527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44450</xdr:colOff>
      <xdr:row>19</xdr:row>
      <xdr:rowOff>38100</xdr:rowOff>
    </xdr:from>
    <xdr:to>
      <xdr:col>10</xdr:col>
      <xdr:colOff>520700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B2706D-5E31-175B-D85E-9F5386A81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330200</xdr:colOff>
      <xdr:row>19</xdr:row>
      <xdr:rowOff>25400</xdr:rowOff>
    </xdr:from>
    <xdr:to>
      <xdr:col>19</xdr:col>
      <xdr:colOff>812800</xdr:colOff>
      <xdr:row>28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875FE8-7020-2090-8486-1CD99351E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19050</xdr:colOff>
      <xdr:row>29</xdr:row>
      <xdr:rowOff>12700</xdr:rowOff>
    </xdr:from>
    <xdr:to>
      <xdr:col>10</xdr:col>
      <xdr:colOff>482600</xdr:colOff>
      <xdr:row>40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EE7331-52BE-C38E-4452-5268DD194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266700</xdr:colOff>
      <xdr:row>29</xdr:row>
      <xdr:rowOff>25400</xdr:rowOff>
    </xdr:from>
    <xdr:to>
      <xdr:col>19</xdr:col>
      <xdr:colOff>812800</xdr:colOff>
      <xdr:row>40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08661FD-CB3B-9C67-7AD6-FA5E339FA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4BFFC7B-FCBA-9749-B4D0-40414AC71524}" autoFormatId="16" applyNumberFormats="0" applyBorderFormats="0" applyFontFormats="0" applyPatternFormats="0" applyAlignmentFormats="0" applyWidthHeightFormats="0">
  <queryTableRefresh nextId="7">
    <queryTableFields count="6">
      <queryTableField id="1" name="Total Revenue" tableColumnId="1"/>
      <queryTableField id="2" name="Total Transactions" tableColumnId="2"/>
      <queryTableField id="3" name="Average Sales" tableColumnId="3"/>
      <queryTableField id="4" name="Customers" tableColumnId="4"/>
      <queryTableField id="5" name="Products" tableColumnId="5"/>
      <queryTableField id="6" name="Branche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9CB335B-2FDC-5F49-8CE7-6CCD0BC62771}" autoFormatId="16" applyNumberFormats="0" applyBorderFormats="0" applyFontFormats="0" applyPatternFormats="0" applyAlignmentFormats="0" applyWidthHeightFormats="0">
  <queryTableRefresh nextId="3">
    <queryTableFields count="2">
      <queryTableField id="1" name="payment_method" tableColumnId="1"/>
      <queryTableField id="2" name="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9D47C12-DBC7-C444-9B39-4A124A8A8187}" autoFormatId="16" applyNumberFormats="0" applyBorderFormats="0" applyFontFormats="0" applyPatternFormats="0" applyAlignmentFormats="0" applyWidthHeightFormats="0">
  <queryTableRefresh nextId="3">
    <queryTableFields count="2">
      <queryTableField id="1" name="branch" tableColumnId="1"/>
      <queryTableField id="2" name="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0B8B061-2CC0-F24D-BB8A-143CCB6547EF}" autoFormatId="16" applyNumberFormats="0" applyBorderFormats="0" applyFontFormats="0" applyPatternFormats="0" applyAlignmentFormats="0" applyWidthHeightFormats="0">
  <queryTableRefresh nextId="3">
    <queryTableFields count="2">
      <queryTableField id="1" name="product" tableColumnId="1"/>
      <queryTableField id="2" name="reven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AC8741D7-79EF-604B-B341-836F2250A2FB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revenu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D9BD05A-DDB2-8843-96F8-BEBE92D937D2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reven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5A49203-9D1B-044C-BA1D-A16FC7A6CCCB}" autoFormatId="16" applyNumberFormats="0" applyBorderFormats="0" applyFontFormats="0" applyPatternFormats="0" applyAlignmentFormats="0" applyWidthHeightFormats="0">
  <queryTableRefresh nextId="3">
    <queryTableFields count="2">
      <queryTableField id="1" name="customer_name" tableColumnId="1"/>
      <queryTableField id="2" name="reven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90DA60-0BF1-D948-99DC-848648FB2AF9}" name="kpis__2" displayName="kpis__2" ref="A1:F2" tableType="queryTable" totalsRowShown="0">
  <autoFilter ref="A1:F2" xr:uid="{5990DA60-0BF1-D948-99DC-848648FB2AF9}"/>
  <tableColumns count="6">
    <tableColumn id="1" xr3:uid="{D252C9DC-9A1A-3143-B375-866F92D7F911}" uniqueName="1" name="Total Revenue" queryTableFieldId="1" dataDxfId="3"/>
    <tableColumn id="2" xr3:uid="{11BA4FE6-6572-E84B-95F8-4EBEB51C67AE}" uniqueName="2" name="Total Transactions" queryTableFieldId="2"/>
    <tableColumn id="3" xr3:uid="{919D2ACB-531A-8E49-9412-C93BAEB3A183}" uniqueName="3" name="Average Sales" queryTableFieldId="3" dataDxfId="2"/>
    <tableColumn id="4" xr3:uid="{0F4D9020-A7C3-A34A-84A0-2F4EE823900F}" uniqueName="4" name="Customers" queryTableFieldId="4"/>
    <tableColumn id="5" xr3:uid="{C74A0831-A8AF-8F44-BA2A-145753864DD1}" uniqueName="5" name="Products" queryTableFieldId="5"/>
    <tableColumn id="6" xr3:uid="{53BEC3C0-3BE0-1B4F-A324-52419A49B80C}" uniqueName="6" name="Branche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8D27C9-53BF-254C-9C7B-B8BE3AFAB3AA}" name="payment_method_by_revenue" displayName="payment_method_by_revenue" ref="A1:B5" tableType="queryTable" totalsRowShown="0">
  <autoFilter ref="A1:B5" xr:uid="{278D27C9-53BF-254C-9C7B-B8BE3AFAB3AA}"/>
  <tableColumns count="2">
    <tableColumn id="1" xr3:uid="{A12A5A11-DA72-294A-9E8F-E80A7149845A}" uniqueName="1" name="payment_method" queryTableFieldId="1" dataDxfId="7"/>
    <tableColumn id="2" xr3:uid="{F48DA9CC-A938-0D4C-A0D9-5C6D70257495}" uniqueName="2" name="reven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EC8A7B-6704-A24C-B743-BF61C16A4762}" name="revenue_by_branch" displayName="revenue_by_branch" ref="A1:B6" tableType="queryTable" totalsRowShown="0">
  <autoFilter ref="A1:B6" xr:uid="{CEEC8A7B-6704-A24C-B743-BF61C16A4762}"/>
  <tableColumns count="2">
    <tableColumn id="1" xr3:uid="{C5910153-CCA1-0B4D-8A31-1042A5BA7162}" uniqueName="1" name="branch" queryTableFieldId="1" dataDxfId="6"/>
    <tableColumn id="2" xr3:uid="{1A747772-7A92-4E4D-B8D4-BEC87367F829}" uniqueName="2" name="reven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AEF22A-0161-AA4B-87B1-CE6793BDBA66}" name="revenue_by_product" displayName="revenue_by_product" ref="A1:B6" tableType="queryTable" totalsRowShown="0">
  <autoFilter ref="A1:B6" xr:uid="{3EAEF22A-0161-AA4B-87B1-CE6793BDBA66}"/>
  <tableColumns count="2">
    <tableColumn id="1" xr3:uid="{9BBB78FD-985D-1D43-A5B1-A686CA589D9F}" uniqueName="1" name="product" queryTableFieldId="1" dataDxfId="5"/>
    <tableColumn id="2" xr3:uid="{908E63A0-3EEB-F84D-9AC3-8508C305A321}" uniqueName="2" name="reven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0492E-275A-BE40-9EA0-6EDCBAA5EBAF}" name="revenue_by_month__2" displayName="revenue_by_month__2" ref="A1:B13" tableType="queryTable" totalsRowShown="0">
  <autoFilter ref="A1:B13" xr:uid="{4CB0492E-275A-BE40-9EA0-6EDCBAA5EBAF}"/>
  <tableColumns count="2">
    <tableColumn id="1" xr3:uid="{91D156DF-917C-5C43-AE65-61D78AECCEE2}" uniqueName="1" name="month" queryTableFieldId="1" dataDxfId="0"/>
    <tableColumn id="2" xr3:uid="{53EBBD6A-D8DD-A342-B180-B18FE4C5346A}" uniqueName="2" name="revenue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3AA0A4-FA9D-6941-8504-BB53A4DA5B9D}" name="revenue_by_month" displayName="revenue_by_month" ref="A1:B13" tableType="queryTable" totalsRowShown="0">
  <autoFilter ref="A1:B13" xr:uid="{873AA0A4-FA9D-6941-8504-BB53A4DA5B9D}"/>
  <tableColumns count="2">
    <tableColumn id="1" xr3:uid="{AA7EED56-C600-344D-A5A2-B4D4DE591F1A}" uniqueName="1" name="month" queryTableFieldId="1" dataDxfId="1"/>
    <tableColumn id="2" xr3:uid="{B4E6B3C6-1147-7943-9380-F0358656CD12}" uniqueName="2" name="revenue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617C4A-EF75-CC40-9EB0-06E9AB9D1D74}" name="top_10_customers_by_revenue" displayName="top_10_customers_by_revenue" ref="A1:B8" tableType="queryTable" totalsRowShown="0">
  <autoFilter ref="A1:B8" xr:uid="{6F617C4A-EF75-CC40-9EB0-06E9AB9D1D74}"/>
  <tableColumns count="2">
    <tableColumn id="1" xr3:uid="{767B018B-8238-3C43-A416-AE89ACB9E620}" uniqueName="1" name="customer_name" queryTableFieldId="1" dataDxfId="4"/>
    <tableColumn id="2" xr3:uid="{53583C40-826D-5842-A09D-EEFBD8FF1B50}" uniqueName="2" name="reven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A787-9A44-8045-B0DD-0AF536DAF5E8}">
  <dimension ref="C1:T40"/>
  <sheetViews>
    <sheetView showGridLines="0" tabSelected="1" topLeftCell="A8" workbookViewId="0">
      <selection activeCell="N48" sqref="N48"/>
    </sheetView>
  </sheetViews>
  <sheetFormatPr baseColWidth="10" defaultRowHeight="16" x14ac:dyDescent="0.2"/>
  <sheetData>
    <row r="1" spans="3:20" x14ac:dyDescent="0.2">
      <c r="C1" s="4" t="s">
        <v>38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3:20" x14ac:dyDescent="0.2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3:20" x14ac:dyDescent="0.2">
      <c r="C3" s="7" t="s">
        <v>33</v>
      </c>
      <c r="D3" s="7"/>
      <c r="E3" s="7"/>
      <c r="F3" s="7" t="s">
        <v>34</v>
      </c>
      <c r="G3" s="7"/>
      <c r="H3" s="7"/>
      <c r="I3" s="7" t="s">
        <v>2</v>
      </c>
      <c r="J3" s="7"/>
      <c r="K3" s="7"/>
      <c r="L3" s="7" t="s">
        <v>35</v>
      </c>
      <c r="M3" s="7"/>
      <c r="N3" s="7"/>
      <c r="O3" s="7" t="s">
        <v>36</v>
      </c>
      <c r="P3" s="7"/>
      <c r="Q3" s="7"/>
      <c r="R3" s="7" t="s">
        <v>37</v>
      </c>
      <c r="S3" s="7"/>
      <c r="T3" s="7"/>
    </row>
    <row r="4" spans="3:20" x14ac:dyDescent="0.2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3:20" x14ac:dyDescent="0.2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3:20" x14ac:dyDescent="0.2">
      <c r="C6" s="6">
        <f>'Dashboard KPIs'!A2</f>
        <v>4241150</v>
      </c>
      <c r="D6" s="6"/>
      <c r="E6" s="6"/>
      <c r="F6" s="2">
        <f>'Dashboard KPIs'!B2</f>
        <v>400</v>
      </c>
      <c r="G6" s="2"/>
      <c r="H6" s="2"/>
      <c r="I6" s="6">
        <f>'Dashboard KPIs'!C2</f>
        <v>10602.875</v>
      </c>
      <c r="J6" s="6"/>
      <c r="K6" s="6"/>
      <c r="L6" s="2">
        <f>'Dashboard KPIs'!D2</f>
        <v>7</v>
      </c>
      <c r="M6" s="2"/>
      <c r="N6" s="2"/>
      <c r="O6" s="2">
        <f>'Dashboard KPIs'!E2</f>
        <v>5</v>
      </c>
      <c r="P6" s="2"/>
      <c r="Q6" s="2"/>
      <c r="R6" s="2">
        <f>'Dashboard KPIs'!F2</f>
        <v>5</v>
      </c>
      <c r="S6" s="2"/>
      <c r="T6" s="2"/>
    </row>
    <row r="7" spans="3:20" x14ac:dyDescent="0.2">
      <c r="C7" s="6"/>
      <c r="D7" s="6"/>
      <c r="E7" s="6"/>
      <c r="F7" s="2"/>
      <c r="G7" s="2"/>
      <c r="H7" s="2"/>
      <c r="I7" s="6"/>
      <c r="J7" s="6"/>
      <c r="K7" s="6"/>
      <c r="L7" s="2"/>
      <c r="M7" s="2"/>
      <c r="N7" s="2"/>
      <c r="O7" s="2"/>
      <c r="P7" s="2"/>
      <c r="Q7" s="2"/>
      <c r="R7" s="2"/>
      <c r="S7" s="2"/>
      <c r="T7" s="2"/>
    </row>
    <row r="8" spans="3:20" x14ac:dyDescent="0.2">
      <c r="C8" s="6"/>
      <c r="D8" s="6"/>
      <c r="E8" s="6"/>
      <c r="F8" s="2"/>
      <c r="G8" s="2"/>
      <c r="H8" s="2"/>
      <c r="I8" s="6"/>
      <c r="J8" s="6"/>
      <c r="K8" s="6"/>
      <c r="L8" s="2"/>
      <c r="M8" s="2"/>
      <c r="N8" s="2"/>
      <c r="O8" s="2"/>
      <c r="P8" s="2"/>
      <c r="Q8" s="2"/>
      <c r="R8" s="2"/>
      <c r="S8" s="2"/>
      <c r="T8" s="2"/>
    </row>
    <row r="9" spans="3:20" x14ac:dyDescent="0.2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3:20" x14ac:dyDescent="0.2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3:20" x14ac:dyDescent="0.2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3:20" x14ac:dyDescent="0.2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3:20" x14ac:dyDescent="0.2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3:20" x14ac:dyDescent="0.2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3:20" x14ac:dyDescent="0.2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3:20" x14ac:dyDescent="0.2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3:20" x14ac:dyDescent="0.2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3:20" x14ac:dyDescent="0.2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3:20" x14ac:dyDescent="0.2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3:20" x14ac:dyDescent="0.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3:20" x14ac:dyDescent="0.2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3:20" x14ac:dyDescent="0.2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3:20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3:20" x14ac:dyDescent="0.2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3:20" x14ac:dyDescent="0.2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3:20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3:20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3:20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3:20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3:20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3:20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3:20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3:20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3:20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3:20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3:20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3:20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3:20" x14ac:dyDescent="0.2">
      <c r="L40" s="3"/>
      <c r="M40" s="3"/>
      <c r="N40" s="3"/>
      <c r="O40" s="3"/>
      <c r="P40" s="3"/>
      <c r="Q40" s="3"/>
      <c r="R40" s="3"/>
      <c r="S40" s="3"/>
      <c r="T40" s="3"/>
    </row>
  </sheetData>
  <mergeCells count="18">
    <mergeCell ref="C1:T2"/>
    <mergeCell ref="R3:T5"/>
    <mergeCell ref="C9:T19"/>
    <mergeCell ref="C20:K29"/>
    <mergeCell ref="L20:T29"/>
    <mergeCell ref="C30:K39"/>
    <mergeCell ref="L30:T40"/>
    <mergeCell ref="C3:E5"/>
    <mergeCell ref="F3:H5"/>
    <mergeCell ref="I3:K5"/>
    <mergeCell ref="L3:N5"/>
    <mergeCell ref="O3:Q5"/>
    <mergeCell ref="R6:T8"/>
    <mergeCell ref="C6:E8"/>
    <mergeCell ref="F6:H8"/>
    <mergeCell ref="I6:K8"/>
    <mergeCell ref="L6:N8"/>
    <mergeCell ref="O6:Q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E61C-754D-EB45-B1D4-1256038D2A54}">
  <dimension ref="A1:F2"/>
  <sheetViews>
    <sheetView workbookViewId="0">
      <selection activeCell="J9" sqref="J9"/>
    </sheetView>
  </sheetViews>
  <sheetFormatPr baseColWidth="10" defaultRowHeight="16" x14ac:dyDescent="0.2"/>
  <cols>
    <col min="1" max="1" width="15.5" bestFit="1" customWidth="1"/>
    <col min="2" max="2" width="18.83203125" bestFit="1" customWidth="1"/>
    <col min="3" max="3" width="15.1640625" bestFit="1" customWidth="1"/>
    <col min="4" max="4" width="13" bestFit="1" customWidth="1"/>
    <col min="5" max="5" width="11.1640625" bestFit="1" customWidth="1"/>
    <col min="6" max="6" width="1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5">
        <v>4241150</v>
      </c>
      <c r="B2">
        <v>400</v>
      </c>
      <c r="C2" s="5">
        <v>10602.875</v>
      </c>
      <c r="D2">
        <v>7</v>
      </c>
      <c r="E2">
        <v>5</v>
      </c>
      <c r="F2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587B-705D-0740-A033-CE73BDAA891E}">
  <dimension ref="A1:B5"/>
  <sheetViews>
    <sheetView workbookViewId="0"/>
  </sheetViews>
  <sheetFormatPr baseColWidth="10" defaultRowHeight="16" x14ac:dyDescent="0.2"/>
  <cols>
    <col min="1" max="1" width="18" bestFit="1" customWidth="1"/>
    <col min="2" max="2" width="10.1640625" bestFit="1" customWidth="1"/>
  </cols>
  <sheetData>
    <row r="1" spans="1:2" x14ac:dyDescent="0.2">
      <c r="A1" t="s">
        <v>28</v>
      </c>
      <c r="B1" t="s">
        <v>7</v>
      </c>
    </row>
    <row r="2" spans="1:2" x14ac:dyDescent="0.2">
      <c r="A2" t="s">
        <v>29</v>
      </c>
      <c r="B2">
        <v>1531650</v>
      </c>
    </row>
    <row r="3" spans="1:2" x14ac:dyDescent="0.2">
      <c r="A3" t="s">
        <v>30</v>
      </c>
      <c r="B3">
        <v>1445550</v>
      </c>
    </row>
    <row r="4" spans="1:2" x14ac:dyDescent="0.2">
      <c r="A4" t="s">
        <v>31</v>
      </c>
      <c r="B4">
        <v>931950</v>
      </c>
    </row>
    <row r="5" spans="1:2" x14ac:dyDescent="0.2">
      <c r="A5" t="s">
        <v>32</v>
      </c>
      <c r="B5">
        <v>332000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B8420-B9B7-ED4B-952D-B7F0B6F74300}">
  <dimension ref="A1:B6"/>
  <sheetViews>
    <sheetView workbookViewId="0"/>
  </sheetViews>
  <sheetFormatPr baseColWidth="10" defaultRowHeight="16" x14ac:dyDescent="0.2"/>
  <cols>
    <col min="1" max="1" width="12.33203125" bestFit="1" customWidth="1"/>
    <col min="2" max="2" width="10.1640625" bestFit="1" customWidth="1"/>
  </cols>
  <sheetData>
    <row r="1" spans="1:2" x14ac:dyDescent="0.2">
      <c r="A1" t="s">
        <v>6</v>
      </c>
      <c r="B1" t="s">
        <v>7</v>
      </c>
    </row>
    <row r="2" spans="1:2" x14ac:dyDescent="0.2">
      <c r="A2" t="s">
        <v>8</v>
      </c>
      <c r="B2">
        <v>1341450</v>
      </c>
    </row>
    <row r="3" spans="1:2" x14ac:dyDescent="0.2">
      <c r="A3" t="s">
        <v>9</v>
      </c>
      <c r="B3">
        <v>802200</v>
      </c>
    </row>
    <row r="4" spans="1:2" x14ac:dyDescent="0.2">
      <c r="A4" t="s">
        <v>10</v>
      </c>
      <c r="B4">
        <v>796700</v>
      </c>
    </row>
    <row r="5" spans="1:2" x14ac:dyDescent="0.2">
      <c r="A5" t="s">
        <v>11</v>
      </c>
      <c r="B5">
        <v>750250</v>
      </c>
    </row>
    <row r="6" spans="1:2" x14ac:dyDescent="0.2">
      <c r="A6" t="s">
        <v>12</v>
      </c>
      <c r="B6">
        <v>550550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C50D-C98A-8843-A622-95F6EDB44398}">
  <dimension ref="A1:B6"/>
  <sheetViews>
    <sheetView workbookViewId="0">
      <selection activeCell="E37" sqref="E37"/>
    </sheetView>
  </sheetViews>
  <sheetFormatPr baseColWidth="10" defaultRowHeight="16" x14ac:dyDescent="0.2"/>
  <cols>
    <col min="1" max="1" width="10" bestFit="1" customWidth="1"/>
    <col min="2" max="2" width="10.1640625" bestFit="1" customWidth="1"/>
  </cols>
  <sheetData>
    <row r="1" spans="1:2" x14ac:dyDescent="0.2">
      <c r="A1" t="s">
        <v>13</v>
      </c>
      <c r="B1" t="s">
        <v>7</v>
      </c>
    </row>
    <row r="2" spans="1:2" x14ac:dyDescent="0.2">
      <c r="A2" t="s">
        <v>14</v>
      </c>
      <c r="B2">
        <v>2645500</v>
      </c>
    </row>
    <row r="3" spans="1:2" x14ac:dyDescent="0.2">
      <c r="A3" t="s">
        <v>15</v>
      </c>
      <c r="B3">
        <v>840000</v>
      </c>
    </row>
    <row r="4" spans="1:2" x14ac:dyDescent="0.2">
      <c r="A4" t="s">
        <v>16</v>
      </c>
      <c r="B4">
        <v>552600</v>
      </c>
    </row>
    <row r="5" spans="1:2" x14ac:dyDescent="0.2">
      <c r="A5" t="s">
        <v>17</v>
      </c>
      <c r="B5">
        <v>135100</v>
      </c>
    </row>
    <row r="6" spans="1:2" x14ac:dyDescent="0.2">
      <c r="A6" t="s">
        <v>18</v>
      </c>
      <c r="B6">
        <v>67950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8551-5169-4042-978D-5F1FED8A2C3B}">
  <dimension ref="A1:B13"/>
  <sheetViews>
    <sheetView workbookViewId="0">
      <selection activeCell="F14" sqref="F14"/>
    </sheetView>
  </sheetViews>
  <sheetFormatPr baseColWidth="10" defaultRowHeight="16" x14ac:dyDescent="0.2"/>
  <cols>
    <col min="1" max="1" width="10.5" bestFit="1" customWidth="1"/>
    <col min="2" max="2" width="10.1640625" bestFit="1" customWidth="1"/>
  </cols>
  <sheetData>
    <row r="1" spans="1:2" x14ac:dyDescent="0.2">
      <c r="A1" t="s">
        <v>19</v>
      </c>
      <c r="B1" t="s">
        <v>7</v>
      </c>
    </row>
    <row r="2" spans="1:2" x14ac:dyDescent="0.2">
      <c r="A2" s="8">
        <v>46023</v>
      </c>
      <c r="B2">
        <v>1200500</v>
      </c>
    </row>
    <row r="3" spans="1:2" x14ac:dyDescent="0.2">
      <c r="A3" s="8">
        <v>46054</v>
      </c>
      <c r="B3">
        <v>1094050</v>
      </c>
    </row>
    <row r="4" spans="1:2" x14ac:dyDescent="0.2">
      <c r="A4" s="8">
        <v>46082</v>
      </c>
      <c r="B4">
        <v>1725550</v>
      </c>
    </row>
    <row r="5" spans="1:2" x14ac:dyDescent="0.2">
      <c r="A5" s="8">
        <v>46113</v>
      </c>
      <c r="B5">
        <v>14500</v>
      </c>
    </row>
    <row r="6" spans="1:2" x14ac:dyDescent="0.2">
      <c r="A6" s="8">
        <v>46143</v>
      </c>
      <c r="B6">
        <v>300</v>
      </c>
    </row>
    <row r="7" spans="1:2" x14ac:dyDescent="0.2">
      <c r="A7" s="8">
        <v>46174</v>
      </c>
      <c r="B7">
        <v>32800</v>
      </c>
    </row>
    <row r="8" spans="1:2" x14ac:dyDescent="0.2">
      <c r="A8" s="8">
        <v>46204</v>
      </c>
      <c r="B8">
        <v>51500</v>
      </c>
    </row>
    <row r="9" spans="1:2" x14ac:dyDescent="0.2">
      <c r="A9" s="8">
        <v>46235</v>
      </c>
      <c r="B9">
        <v>6500</v>
      </c>
    </row>
    <row r="10" spans="1:2" x14ac:dyDescent="0.2">
      <c r="A10" s="8">
        <v>46266</v>
      </c>
      <c r="B10">
        <v>6500</v>
      </c>
    </row>
    <row r="11" spans="1:2" x14ac:dyDescent="0.2">
      <c r="A11" s="8">
        <v>46296</v>
      </c>
      <c r="B11">
        <v>29900</v>
      </c>
    </row>
    <row r="12" spans="1:2" x14ac:dyDescent="0.2">
      <c r="A12" s="8">
        <v>46327</v>
      </c>
      <c r="B12">
        <v>15350</v>
      </c>
    </row>
    <row r="13" spans="1:2" x14ac:dyDescent="0.2">
      <c r="A13" s="8">
        <v>46357</v>
      </c>
      <c r="B13">
        <v>63700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6FC9-C667-7547-B9C4-118395D67A3E}">
  <dimension ref="A1:B13"/>
  <sheetViews>
    <sheetView workbookViewId="0">
      <selection activeCell="A2" sqref="A2"/>
    </sheetView>
  </sheetViews>
  <sheetFormatPr baseColWidth="10" defaultRowHeight="16" x14ac:dyDescent="0.2"/>
  <cols>
    <col min="1" max="1" width="10.5" bestFit="1" customWidth="1"/>
    <col min="2" max="2" width="10.1640625" bestFit="1" customWidth="1"/>
  </cols>
  <sheetData>
    <row r="1" spans="1:2" x14ac:dyDescent="0.2">
      <c r="A1" t="s">
        <v>19</v>
      </c>
      <c r="B1" t="s">
        <v>7</v>
      </c>
    </row>
    <row r="2" spans="1:2" x14ac:dyDescent="0.2">
      <c r="A2" s="1">
        <v>46082</v>
      </c>
      <c r="B2">
        <v>1725550</v>
      </c>
    </row>
    <row r="3" spans="1:2" x14ac:dyDescent="0.2">
      <c r="A3" s="1">
        <v>46023</v>
      </c>
      <c r="B3">
        <v>1200500</v>
      </c>
    </row>
    <row r="4" spans="1:2" x14ac:dyDescent="0.2">
      <c r="A4" s="1">
        <v>46054</v>
      </c>
      <c r="B4">
        <v>1094050</v>
      </c>
    </row>
    <row r="5" spans="1:2" x14ac:dyDescent="0.2">
      <c r="A5" s="1">
        <v>46357</v>
      </c>
      <c r="B5">
        <v>63700</v>
      </c>
    </row>
    <row r="6" spans="1:2" x14ac:dyDescent="0.2">
      <c r="A6" s="1">
        <v>46204</v>
      </c>
      <c r="B6">
        <v>51500</v>
      </c>
    </row>
    <row r="7" spans="1:2" x14ac:dyDescent="0.2">
      <c r="A7" s="1">
        <v>46174</v>
      </c>
      <c r="B7">
        <v>32800</v>
      </c>
    </row>
    <row r="8" spans="1:2" x14ac:dyDescent="0.2">
      <c r="A8" s="1">
        <v>46296</v>
      </c>
      <c r="B8">
        <v>29900</v>
      </c>
    </row>
    <row r="9" spans="1:2" x14ac:dyDescent="0.2">
      <c r="A9" s="1">
        <v>46327</v>
      </c>
      <c r="B9">
        <v>15350</v>
      </c>
    </row>
    <row r="10" spans="1:2" x14ac:dyDescent="0.2">
      <c r="A10" s="1">
        <v>46113</v>
      </c>
      <c r="B10">
        <v>14500</v>
      </c>
    </row>
    <row r="11" spans="1:2" x14ac:dyDescent="0.2">
      <c r="A11" s="1">
        <v>46235</v>
      </c>
      <c r="B11">
        <v>6500</v>
      </c>
    </row>
    <row r="12" spans="1:2" x14ac:dyDescent="0.2">
      <c r="A12" s="1">
        <v>46266</v>
      </c>
      <c r="B12">
        <v>6500</v>
      </c>
    </row>
    <row r="13" spans="1:2" x14ac:dyDescent="0.2">
      <c r="A13" s="1">
        <v>46143</v>
      </c>
      <c r="B13">
        <v>300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349D-40A9-0F41-9941-E70365F2685E}">
  <dimension ref="A1:B8"/>
  <sheetViews>
    <sheetView workbookViewId="0"/>
  </sheetViews>
  <sheetFormatPr baseColWidth="10" defaultRowHeight="16" x14ac:dyDescent="0.2"/>
  <cols>
    <col min="1" max="1" width="17.1640625" bestFit="1" customWidth="1"/>
    <col min="2" max="2" width="10.1640625" bestFit="1" customWidth="1"/>
  </cols>
  <sheetData>
    <row r="1" spans="1:2" x14ac:dyDescent="0.2">
      <c r="A1" t="s">
        <v>20</v>
      </c>
      <c r="B1" t="s">
        <v>7</v>
      </c>
    </row>
    <row r="2" spans="1:2" x14ac:dyDescent="0.2">
      <c r="A2" t="s">
        <v>21</v>
      </c>
      <c r="B2">
        <v>1236850</v>
      </c>
    </row>
    <row r="3" spans="1:2" x14ac:dyDescent="0.2">
      <c r="A3" t="s">
        <v>22</v>
      </c>
      <c r="B3">
        <v>584600</v>
      </c>
    </row>
    <row r="4" spans="1:2" x14ac:dyDescent="0.2">
      <c r="A4" t="s">
        <v>23</v>
      </c>
      <c r="B4">
        <v>579300</v>
      </c>
    </row>
    <row r="5" spans="1:2" x14ac:dyDescent="0.2">
      <c r="A5" t="s">
        <v>24</v>
      </c>
      <c r="B5">
        <v>544650</v>
      </c>
    </row>
    <row r="6" spans="1:2" x14ac:dyDescent="0.2">
      <c r="A6" t="s">
        <v>25</v>
      </c>
      <c r="B6">
        <v>528100</v>
      </c>
    </row>
    <row r="7" spans="1:2" x14ac:dyDescent="0.2">
      <c r="A7" t="s">
        <v>26</v>
      </c>
      <c r="B7">
        <v>398150</v>
      </c>
    </row>
    <row r="8" spans="1:2" x14ac:dyDescent="0.2">
      <c r="A8" t="s">
        <v>27</v>
      </c>
      <c r="B8">
        <v>369500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964954-A054-504A-8DF6-7A2F80E58D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Dashboard KPIs</vt:lpstr>
      <vt:lpstr>Payment Method by Revenue</vt:lpstr>
      <vt:lpstr>Revenue by Branch</vt:lpstr>
      <vt:lpstr>Revenue by Product</vt:lpstr>
      <vt:lpstr>revenue_by_month (2)</vt:lpstr>
      <vt:lpstr>Monthly Revenue</vt:lpstr>
      <vt:lpstr>Top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 Kyeremeh [Apotica]</dc:creator>
  <cp:lastModifiedBy>Sylvester Kyeremeh [Apotica]</cp:lastModifiedBy>
  <dcterms:created xsi:type="dcterms:W3CDTF">2026-07-20T15:41:57Z</dcterms:created>
  <dcterms:modified xsi:type="dcterms:W3CDTF">2026-07-22T14:20:44Z</dcterms:modified>
</cp:coreProperties>
</file>